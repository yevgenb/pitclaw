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3bc052f30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7536e3e4a3e04ea3"/>
    <x:sheet xmlns:r="http://schemas.openxmlformats.org/officeDocument/2006/relationships" name="Parts" sheetId="2" r:id="Re887dc3e7680475f"/>
    <x:sheet xmlns:r="http://schemas.openxmlformats.org/officeDocument/2006/relationships" name="Other items" sheetId="3" r:id="R57026e3b7e35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6b90d85eb4637" /><Relationship Type="http://schemas.openxmlformats.org/officeDocument/2006/relationships/theme" Target="/xl/theme/theme1.xml" Id="R012b22114bbe48e0" /><Relationship Type="http://schemas.openxmlformats.org/officeDocument/2006/relationships/sharedStrings" Target="/xl/sharedStrings.xml" Id="Rc801ea79374e4700" /><Relationship Type="http://schemas.openxmlformats.org/officeDocument/2006/relationships/worksheet" Target="/xl/worksheets/sheet1.xml" Id="R7536e3e4a3e04ea3" /><Relationship Type="http://schemas.openxmlformats.org/officeDocument/2006/relationships/worksheet" Target="/xl/worksheets/sheet2.xml" Id="Re887dc3e7680475f" /><Relationship Type="http://schemas.openxmlformats.org/officeDocument/2006/relationships/worksheet" Target="/xl/worksheets/sheet3.xml" Id="R57026e3b7e35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B-T2F0-A5807-S3. JP2 selects Adafruit 5807 or 12 V wall input; TSR 2-2450N. Checked 2026-09-05.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Subtotal excludes PCB, mounting hardware and existing WT32/ADC.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J9</x:v>
      </x:c>
      <x:c r="B10" s="17" t="str">
        <x:v>54-00133</x:v>
      </x:c>
      <x:c r="C10" s="22" t="n">
        <x:v>1</x:v>
      </x:c>
      <x:c r="D10" s="23" t="n">
        <x:v>1</x:v>
      </x:c>
      <x:c r="E10" s="25" t="n">
        <x:f>IF(D10=0,0,IF(D10&gt;='Parts'!Q10,'Parts'!R10,IF(D10&gt;='Parts'!O10,'Parts'!P10,IF(D10&gt;='Parts'!M10,'Parts'!N10,IF(D10&gt;='Parts'!K10,'Parts'!L10,'Parts'!J10)))))</x:f>
        <x:v>0.9</x:v>
      </x:c>
      <x:c r="F10" s="27" t="n">
        <x:f>ROUND(D10*E10,2)</x:f>
        <x:v>0.9</x:v>
      </x:c>
      <x:c r="G10" s="22" t="n">
        <x:f>D10-C10</x:f>
        <x:v>0</x:v>
      </x:c>
      <x:c r="H10" s="17" t="str">
        <x:v>839-54-00133-ND</x:v>
      </x:c>
      <x:c r="I10" s="17" t="str">
        <x:v>https://www.digikey.com/en/products/detail/tensility-international-corp/54-00133/9685442</x:v>
      </x:c>
      <x:c r="J10" s="17" t="str">
        <x:v>Fitted carrier part. See Parts for specifications and assembly cautions.</x:v>
      </x:c>
    </x:row>
    <x:row r="11" ht="66" customHeight="1">
      <x:c r="A11" s="3" t="str">
        <x:v>J3</x:v>
      </x:c>
      <x:c r="B11" s="3" t="str">
        <x:v>B8B-XH-A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0.3</x:v>
      </x:c>
      <x:c r="F11" s="28" t="n">
        <x:f>ROUND(D11*E11,2)</x:f>
        <x:v>0.3</x:v>
      </x:c>
      <x:c r="G11" s="24" t="n">
        <x:f>D11-C11</x:f>
        <x:v>0</x:v>
      </x:c>
      <x:c r="H11" s="3" t="str">
        <x:v>455-B8B-XH-A-ND</x:v>
      </x:c>
      <x:c r="I11" s="3" t="str">
        <x:v>https://www.digikey.com/en/products/detail/jst-sales-america-inc/B8B-XH-A/1651049</x:v>
      </x:c>
      <x:c r="J11" s="3" t="str">
        <x:v>Fitted carrier part. See Parts for specifications and assembly cautions.</x:v>
      </x:c>
    </x:row>
    <x:row r="12" ht="66" customHeight="1">
      <x:c r="A12" s="17" t="str">
        <x:v>J8</x:v>
      </x:c>
      <x:c r="B12" s="17" t="str">
        <x:v>PPPC101LFBN-RC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0.66</x:v>
      </x:c>
      <x:c r="F12" s="27" t="n">
        <x:f>ROUND(D12*E12,2)</x:f>
        <x:v>0.66</x:v>
      </x:c>
      <x:c r="G12" s="22" t="n">
        <x:f>D12-C12</x:f>
        <x:v>0</x:v>
      </x:c>
      <x:c r="H12" s="17" t="str">
        <x:v>S7043-ND</x:v>
      </x:c>
      <x:c r="I12" s="17" t="str">
        <x:v>https://www.digikey.com/en/products/detail/sullins-connector-solutions/PPPC101LFBN-RC/810182</x:v>
      </x:c>
      <x:c r="J12" s="17" t="str">
        <x:v>Fitted carrier part. See Parts for specifications and assembly cautions.</x:v>
      </x:c>
    </x:row>
    <x:row r="13" ht="66" customHeight="1">
      <x:c r="A13" s="3" t="str">
        <x:v>JP1</x:v>
      </x:c>
      <x:c r="B13" s="3" t="str">
        <x:v>68000-102HLF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0.24</x:v>
      </x:c>
      <x:c r="F13" s="28" t="n">
        <x:f>ROUND(D13*E13,2)</x:f>
        <x:v>0.24</x:v>
      </x:c>
      <x:c r="G13" s="24" t="n">
        <x:f>D13-C13</x:f>
        <x:v>0</x:v>
      </x:c>
      <x:c r="H13" s="3" t="str">
        <x:v>609-3500-ND</x:v>
      </x:c>
      <x:c r="I13" s="3" t="str">
        <x:v>https://www.digikey.com/en/products/detail/amphenol-cs-fci/68000-102HLF/1493545</x:v>
      </x:c>
      <x:c r="J13" s="3" t="str">
        <x:v>Fitted carrier part. See Parts for specifications and assembly cautions.</x:v>
      </x:c>
    </x:row>
    <x:row r="14" ht="66" customHeight="1">
      <x:c r="A14" s="17" t="str">
        <x:v>JP2</x:v>
      </x:c>
      <x:c r="B14" s="17" t="str">
        <x:v>68000-103HLF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0.34</x:v>
      </x:c>
      <x:c r="F14" s="27" t="n">
        <x:f>ROUND(D14*E14,2)</x:f>
        <x:v>0.34</x:v>
      </x:c>
      <x:c r="G14" s="22" t="n">
        <x:f>D14-C14</x:f>
        <x:v>0</x:v>
      </x:c>
      <x:c r="H14" s="17" t="str">
        <x:v>609-3461-ND</x:v>
      </x:c>
      <x:c r="I14" s="17" t="str">
        <x:v>https://www.digikey.com/en/products/detail/amphenol-cs-fci/68000-103HLF/2023309</x:v>
      </x:c>
      <x:c r="J14" s="17" t="str">
        <x:v>Fitted carrier part. See Parts for specifications and assembly cautions.</x:v>
      </x:c>
    </x:row>
    <x:row r="15" ht="66" customHeight="1">
      <x:c r="A15" s="3" t="str">
        <x:v>C1</x:v>
      </x:c>
      <x:c r="B15" s="3" t="str">
        <x:v>35PX470MEFC10X12.5</x:v>
      </x:c>
      <x:c r="C15" s="24" t="n">
        <x:v>1</x:v>
      </x:c>
      <x:c r="D15" s="23" t="n">
        <x:v>1</x:v>
      </x:c>
      <x:c r="E15" s="26" t="n">
        <x:f>IF(D15=0,0,IF(D15&gt;='Parts'!M15,'Parts'!N15,IF(D15&gt;='Parts'!K15,'Parts'!L15,'Parts'!J15)))</x:f>
        <x:v>0.66</x:v>
      </x:c>
      <x:c r="F15" s="28" t="n">
        <x:f>ROUND(D15*E15,2)</x:f>
        <x:v>0.66</x:v>
      </x:c>
      <x:c r="G15" s="24" t="n">
        <x:f>D15-C15</x:f>
        <x:v>0</x:v>
      </x:c>
      <x:c r="H15" s="3" t="str">
        <x:v>1189-1280-ND</x:v>
      </x:c>
      <x:c r="I15" s="3" t="str">
        <x:v>https://www.digikey.com/en/products/detail/rubycon/35PX470MEFC10X12-5/3134236</x:v>
      </x:c>
      <x:c r="J15" s="3" t="str">
        <x:v>Fitted carrier part. See Parts for specifications and assembly cautions.</x:v>
      </x:c>
    </x:row>
    <x:row r="16" ht="66" customHeight="1">
      <x:c r="A16" s="17" t="str">
        <x:v>C3</x:v>
      </x:c>
      <x:c r="B16" s="17" t="str">
        <x:v>16ZLH470MEFC8X11.5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0.52</x:v>
      </x:c>
      <x:c r="F16" s="27" t="n">
        <x:f>ROUND(D16*E16,2)</x:f>
        <x:v>0.52</x:v>
      </x:c>
      <x:c r="G16" s="22" t="n">
        <x:f>D16-C16</x:f>
        <x:v>0</x:v>
      </x:c>
      <x:c r="H16" s="17" t="str">
        <x:v>1189-1859-ND</x:v>
      </x:c>
      <x:c r="I16" s="17" t="str">
        <x:v>https://www.digikey.com/en/products/detail/rubycon/16ZLH470MEFC8X11-5/3563382</x:v>
      </x:c>
      <x:c r="J16" s="17" t="str">
        <x:v>Fitted carrier part. See Parts for specifications and assembly cautions.</x:v>
      </x:c>
    </x:row>
    <x:row r="17" ht="66" customHeight="1">
      <x:c r="A17" s="3" t="str">
        <x:v>C2, C4, C10, C11, C12</x:v>
      </x:c>
      <x:c r="B17" s="3" t="str">
        <x:v>FG28X7R1H104KNT06</x:v>
      </x:c>
      <x:c r="C17" s="24" t="n">
        <x:v>5</x:v>
      </x:c>
      <x:c r="D17" s="23" t="n">
        <x:v>5</x:v>
      </x:c>
      <x:c r="E17" s="26" t="n">
        <x:f>IF(D17=0,0,IF(D17&gt;='Parts'!O17,'Parts'!P17,IF(D17&gt;='Parts'!M17,'Parts'!N17,IF(D17&gt;='Parts'!K17,'Parts'!L17,'Parts'!J17))))</x:f>
        <x:v>0.25</x:v>
      </x:c>
      <x:c r="F17" s="28" t="n">
        <x:f>ROUND(D17*E17,2)</x:f>
        <x:v>1.25</x:v>
      </x:c>
      <x:c r="G17" s="24" t="n">
        <x:f>D17-C17</x:f>
        <x:v>0</x:v>
      </x:c>
      <x:c r="H17" s="3" t="str">
        <x:v>445-173588-1-ND</x:v>
      </x:c>
      <x:c r="I17" s="3" t="str">
        <x:v>https://www.digikey.com/en/products/detail/tdk/FG28X7R1H104KNT06/5803202</x:v>
      </x:c>
      <x:c r="J17" s="3" t="str">
        <x:v>Fitted carrier part. See Parts for specifications and assembly cautions.</x:v>
      </x:c>
    </x:row>
    <x:row r="18" ht="66" customHeight="1">
      <x:c r="A18" s="17" t="str">
        <x:v>D2</x:v>
      </x:c>
      <x:c r="B18" s="17" t="str">
        <x:v>SB140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0.23</x:v>
      </x:c>
      <x:c r="F18" s="27" t="n">
        <x:f>ROUND(D18*E18,2)</x:f>
        <x:v>0.23</x:v>
      </x:c>
      <x:c r="G18" s="22" t="n">
        <x:f>D18-C18</x:f>
        <x:v>0</x:v>
      </x:c>
      <x:c r="H18" s="17" t="str">
        <x:v>1655-SB140CT-ND</x:v>
      </x:c>
      <x:c r="I18" s="17" t="str">
        <x:v>https://www.digikey.com/en/products/detail/smc-diode-solutions/SB140/6022959</x:v>
      </x:c>
      <x:c r="J18" s="17" t="str">
        <x:v>Fitted carrier part. See Parts for specifications and assembly cautions.</x:v>
      </x:c>
    </x:row>
    <x:row r="19" ht="66" customHeight="1">
      <x:c r="A19" s="3" t="str">
        <x:v>Q1</x:v>
      </x:c>
      <x:c r="B19" s="3" t="str">
        <x:v>IRF5305PBF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2.53</x:v>
      </x:c>
      <x:c r="F19" s="28" t="n">
        <x:f>ROUND(D19*E19,2)</x:f>
        <x:v>2.53</x:v>
      </x:c>
      <x:c r="G19" s="24" t="n">
        <x:f>D19-C19</x:f>
        <x:v>0</x:v>
      </x:c>
      <x:c r="H19" s="3" t="str">
        <x:v>IRF5305PBF-ND</x:v>
      </x:c>
      <x:c r="I19" s="3" t="str">
        <x:v>https://www.digikey.com/en/products/detail/infineon-technologies/IRF5305PBF/811987</x:v>
      </x:c>
      <x:c r="J19" s="3" t="str">
        <x:v>Fitted carrier part. See Parts for specifications and assembly cautions.</x:v>
      </x:c>
    </x:row>
    <x:row r="20" ht="66" customHeight="1">
      <x:c r="A20" s="17" t="str">
        <x:v>Q2</x:v>
      </x:c>
      <x:c r="B20" s="17" t="str">
        <x:v>2N3904BU</x:v>
      </x:c>
      <x:c r="C20" s="22" t="n">
        <x:v>1</x:v>
      </x:c>
      <x:c r="D20" s="23" t="n">
        <x:v>1</x:v>
      </x:c>
      <x:c r="E20" s="25" t="n">
        <x:f>IF(D20=0,0,IF(D20&gt;='Parts'!M20,'Parts'!N20,IF(D20&gt;='Parts'!K20,'Parts'!L20,'Parts'!J20)))</x:f>
        <x:v>0.29</x:v>
      </x:c>
      <x:c r="F20" s="27" t="n">
        <x:f>ROUND(D20*E20,2)</x:f>
        <x:v>0.29</x:v>
      </x:c>
      <x:c r="G20" s="22" t="n">
        <x:f>D20-C20</x:f>
        <x:v>0</x:v>
      </x:c>
      <x:c r="H20" s="17" t="str">
        <x:v>2N3904FS-ND</x:v>
      </x:c>
      <x:c r="I20" s="17" t="str">
        <x:v>https://www.digikey.com/en/products/detail/onsemi/2N3904BU/1413</x:v>
      </x:c>
      <x:c r="J20" s="17" t="str">
        <x:v>Fitted carrier part. See Parts for specifications and assembly cautions.</x:v>
      </x:c>
    </x:row>
    <x:row r="21" ht="66" customHeight="1">
      <x:c r="A21" s="3" t="str">
        <x:v>BZ1</x:v>
      </x:c>
      <x:c r="B21" s="3" t="str">
        <x:v>PS1240P02BT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0.67</x:v>
      </x:c>
      <x:c r="F21" s="28" t="n">
        <x:f>ROUND(D21*E21,2)</x:f>
        <x:v>0.67</x:v>
      </x:c>
      <x:c r="G21" s="24" t="n">
        <x:f>D21-C21</x:f>
        <x:v>0</x:v>
      </x:c>
      <x:c r="H21" s="3" t="str">
        <x:v>445-2525-1-ND</x:v>
      </x:c>
      <x:c r="I21" s="3" t="str">
        <x:v>https://www.digikey.com/en/products/detail/tdk-corporation/PS1240P02BT/935930</x:v>
      </x:c>
      <x:c r="J21" s="3" t="str">
        <x:v>Fitted carrier part. See Parts for specifications and assembly cautions.</x:v>
      </x:c>
    </x:row>
    <x:row r="22" ht="66" customHeight="1">
      <x:c r="A22" s="17" t="str">
        <x:v>R1, R13, R14, R15, R16</x:v>
      </x:c>
      <x:c r="B22" s="17" t="str">
        <x:v>MFR-25FBF52-1K</x:v>
      </x:c>
      <x:c r="C22" s="22" t="n">
        <x:v>5</x:v>
      </x:c>
      <x:c r="D22" s="23" t="n">
        <x:v>10</x:v>
      </x:c>
      <x:c r="E22" s="25" t="n">
        <x:f>IF(D22=0,0,IF(D22&gt;='Parts'!Q22,'Parts'!R22,IF(D22&gt;='Parts'!O22,'Parts'!P22,IF(D22&gt;='Parts'!M22,'Parts'!N22,IF(D22&gt;='Parts'!K22,'Parts'!L22,'Parts'!J22)))))</x:f>
        <x:v>0.042</x:v>
      </x:c>
      <x:c r="F22" s="27" t="n">
        <x:f>ROUND(D22*E22,2)</x:f>
        <x:v>0.42</x:v>
      </x:c>
      <x:c r="G22" s="22" t="n">
        <x:f>D22-C22</x:f>
        <x:v>5</x:v>
      </x:c>
      <x:c r="H22" s="17" t="str">
        <x:v>1.00KXBK-ND</x:v>
      </x:c>
      <x:c r="I22" s="17" t="str">
        <x:v>https://www.digikey.com/en/products/detail/yageo/MFR-25FBF52-1K/13011</x:v>
      </x:c>
      <x:c r="J22" s="17" t="str">
        <x:v>Price break makes this quantity cheaper than the exact need.</x:v>
      </x:c>
    </x:row>
    <x:row r="23" ht="66" customHeight="1">
      <x:c r="A23" s="3" t="str">
        <x:v>R2</x:v>
      </x:c>
      <x:c r="B23" s="3" t="str">
        <x:v>MFR-25FBF52-2K2</x:v>
      </x:c>
      <x:c r="C23" s="24" t="n">
        <x:v>1</x:v>
      </x:c>
      <x:c r="D23" s="23" t="n">
        <x:v>1</x:v>
      </x:c>
      <x:c r="E23" s="26" t="n">
        <x:f>IF(D23=0,0,IF(D23&gt;='Parts'!Q23,'Parts'!R23,IF(D23&gt;='Parts'!O23,'Parts'!P23,IF(D23&gt;='Parts'!M23,'Parts'!N23,IF(D23&gt;='Parts'!K23,'Parts'!L23,'Parts'!J23)))))</x:f>
        <x:v>0.1</x:v>
      </x:c>
      <x:c r="F23" s="28" t="n">
        <x:f>ROUND(D23*E23,2)</x:f>
        <x:v>0.1</x:v>
      </x:c>
      <x:c r="G23" s="24" t="n">
        <x:f>D23-C23</x:f>
        <x:v>0</x:v>
      </x:c>
      <x:c r="H23" s="3" t="str">
        <x:v>MFR-25FBF52-2K2-ND</x:v>
      </x:c>
      <x:c r="I23" s="3" t="str">
        <x:v>https://www.digikey.com/en/products/detail/yageo/MFR-25FBF52-2K2/9138108</x:v>
      </x:c>
      <x:c r="J23" s="3" t="str">
        <x:v>Fitted carrier part. See Parts for specifications and assembly cautions.</x:v>
      </x:c>
    </x:row>
    <x:row r="24" ht="66" customHeight="1">
      <x:c r="A24" s="17" t="str">
        <x:v>R3</x:v>
      </x:c>
      <x:c r="B24" s="17" t="str">
        <x:v>MFR-25FBF52-100K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</x:v>
      </x:c>
      <x:c r="F24" s="27" t="n">
        <x:f>ROUND(D24*E24,2)</x:f>
        <x:v>0.1</x:v>
      </x:c>
      <x:c r="G24" s="22" t="n">
        <x:f>D24-C24</x:f>
        <x:v>0</x:v>
      </x:c>
      <x:c r="H24" s="17" t="str">
        <x:v>100KXBK-ND</x:v>
      </x:c>
      <x:c r="I24" s="17" t="str">
        <x:v>https://www.digikey.com/en/products/detail/yageo/MFR-25FBF52-100K/13473</x:v>
      </x:c>
      <x:c r="J24" s="17" t="str">
        <x:v>Fitted carrier part. See Parts for specifications and assembly cautions.</x:v>
      </x:c>
    </x:row>
    <x:row r="25" ht="66" customHeight="1">
      <x:c r="A25" s="3" t="str">
        <x:v>R6</x:v>
      </x:c>
      <x:c r="B25" s="3" t="str">
        <x:v>MFR-25FBF52-330R</x:v>
      </x:c>
      <x:c r="C25" s="24" t="n">
        <x:v>1</x:v>
      </x:c>
      <x:c r="D25" s="23" t="n">
        <x:v>1</x:v>
      </x:c>
      <x:c r="E25" s="26" t="n">
        <x:f>IF(D25=0,0,IF(D25&gt;='Parts'!Q25,'Parts'!R25,IF(D25&gt;='Parts'!O25,'Parts'!P25,IF(D25&gt;='Parts'!M25,'Parts'!N25,IF(D25&gt;='Parts'!K25,'Parts'!L25,'Parts'!J25)))))</x:f>
        <x:v>0.11</x:v>
      </x:c>
      <x:c r="F25" s="28" t="n">
        <x:f>ROUND(D25*E25,2)</x:f>
        <x:v>0.11</x:v>
      </x:c>
      <x:c r="G25" s="24" t="n">
        <x:f>D25-C25</x:f>
        <x:v>0</x:v>
      </x:c>
      <x:c r="H25" s="3" t="str">
        <x:v>MFR-25FBF52-330R-ND</x:v>
      </x:c>
      <x:c r="I25" s="3" t="str">
        <x:v>https://www.digikey.com/en/products/detail/yageo/MFR-25FBF52-330R/9138136</x:v>
      </x:c>
      <x:c r="J25" s="3" t="str">
        <x:v>Fitted carrier part. See Parts for specifications and assembly cautions.</x:v>
      </x:c>
    </x:row>
    <x:row r="26" ht="66" customHeight="1">
      <x:c r="A26" s="17" t="str">
        <x:v>R4</x:v>
      </x:c>
      <x:c r="B26" s="17" t="str">
        <x:v>MFR-25FBF52-220R</x:v>
      </x:c>
      <x:c r="C26" s="22" t="n">
        <x:v>1</x:v>
      </x:c>
      <x:c r="D26" s="23" t="n">
        <x:v>1</x:v>
      </x:c>
      <x:c r="E26" s="25" t="n">
        <x:f>IF(D26=0,0,IF(D26&gt;='Parts'!Q26,'Parts'!R26,IF(D26&gt;='Parts'!O26,'Parts'!P26,IF(D26&gt;='Parts'!M26,'Parts'!N26,IF(D26&gt;='Parts'!K26,'Parts'!L26,'Parts'!J26)))))</x:f>
        <x:v>0.1</x:v>
      </x:c>
      <x:c r="F26" s="27" t="n">
        <x:f>ROUND(D26*E26,2)</x:f>
        <x:v>0.1</x:v>
      </x:c>
      <x:c r="G26" s="22" t="n">
        <x:f>D26-C26</x:f>
        <x:v>0</x:v>
      </x:c>
      <x:c r="H26" s="17" t="str">
        <x:v>MFR-25FBF52-220R-ND</x:v>
      </x:c>
      <x:c r="I26" s="17" t="str">
        <x:v>https://www.digikey.com/en/products/detail/yageo/MFR-25FBF52-220R/9138097</x:v>
      </x:c>
      <x:c r="J26" s="17" t="str">
        <x:v>Fitted carrier part. See Parts for specifications and assembly cautions.</x:v>
      </x:c>
    </x:row>
    <x:row r="27" ht="66" customHeight="1">
      <x:c r="A27" s="3" t="str">
        <x:v>R5, R10, R11, R12</x:v>
      </x:c>
      <x:c r="B27" s="3" t="str">
        <x:v>MFR-25FBF52-10K</x:v>
      </x:c>
      <x:c r="C27" s="24" t="n">
        <x:v>4</x:v>
      </x:c>
      <x:c r="D27" s="23" t="n">
        <x:v>4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0.4</x:v>
      </x:c>
      <x:c r="G27" s="24" t="n">
        <x:f>D27-C27</x:f>
        <x:v>0</x:v>
      </x:c>
      <x:c r="H27" s="3" t="str">
        <x:v>10.0KXBK-ND</x:v>
      </x:c>
      <x:c r="I27" s="3" t="str">
        <x:v>https://www.digikey.com/en/products/detail/yageo/MFR-25FBF52-10K/13219</x:v>
      </x:c>
      <x:c r="J27" s="3" t="str">
        <x:v>Fitted carrier part. See Parts for specifications and assembly cautions.</x:v>
      </x:c>
    </x:row>
    <x:row r="28" ht="66" customHeight="1">
      <x:c r="A28" s="17" t="str">
        <x:v>MOD1</x:v>
      </x:c>
      <x:c r="B28" s="17" t="str">
        <x:v>5807</x:v>
      </x:c>
      <x:c r="C28" s="22" t="n">
        <x:v>1</x:v>
      </x:c>
      <x:c r="D28" s="23" t="n">
        <x:v>1</x:v>
      </x:c>
      <x:c r="E28" s="25" t="n">
        <x:f>IF(D28=0,0,'Parts'!J28)</x:f>
        <x:v>5.95</x:v>
      </x:c>
      <x:c r="F28" s="27" t="n">
        <x:f>ROUND(D28*E28,2)</x:f>
        <x:v>5.95</x:v>
      </x:c>
      <x:c r="G28" s="22" t="n">
        <x:f>D28-C28</x:f>
        <x:v>0</x:v>
      </x:c>
      <x:c r="H28" s="17" t="str">
        <x:v>1528-5807-ND</x:v>
      </x:c>
      <x:c r="I28" s="17" t="str">
        <x:v>https://www.digikey.com/en/products/detail/adafruit-industries-llc/5807/21839778</x:v>
      </x:c>
      <x:c r="J28" s="17" t="str">
        <x:v>Screw-mounted module; configure 12 V / 3 A and meter-check before connection.</x:v>
      </x:c>
    </x:row>
    <x:row r="29" ht="66" customHeight="1">
      <x:c r="A29" s="3" t="str">
        <x:v>J1 mate, J7 mate</x:v>
      </x:c>
      <x:c r="B29" s="3" t="str">
        <x:v>XHP-2</x:v>
      </x:c>
      <x:c r="C29" s="24" t="n">
        <x:v>2</x:v>
      </x:c>
      <x:c r="D29" s="23" t="n">
        <x:v>2</x:v>
      </x:c>
      <x:c r="E29" s="26" t="n">
        <x:f>IF(D29=0,0,IF(D29&gt;='Parts'!M29,'Parts'!N29,IF(D29&gt;='Parts'!K29,'Parts'!L29,'Parts'!J29)))</x:f>
        <x:v>0.1</x:v>
      </x:c>
      <x:c r="F29" s="28" t="n">
        <x:f>ROUND(D29*E29,2)</x:f>
        <x:v>0.2</x:v>
      </x:c>
      <x:c r="G29" s="24" t="n">
        <x:f>D29-C29</x:f>
        <x:v>0</x:v>
      </x:c>
      <x:c r="H29" s="3" t="str">
        <x:v>455-2266-ND</x:v>
      </x:c>
      <x:c r="I29" s="3" t="str">
        <x:v>https://www.digikey.com/en/products/detail/jst-sales-america-inc/XHP-2/555485</x:v>
      </x:c>
      <x:c r="J29" s="3" t="str">
        <x:v>J1 and J7 use different voltage rails; clearly label both ends.</x:v>
      </x:c>
    </x:row>
    <x:row r="30" ht="66" customHeight="1">
      <x:c r="A30" s="17" t="str">
        <x:v>J3 mate</x:v>
      </x:c>
      <x:c r="B30" s="17" t="str">
        <x:v>XHP-8</x:v>
      </x:c>
      <x:c r="C30" s="22" t="n">
        <x:v>1</x:v>
      </x:c>
      <x:c r="D30" s="23" t="n">
        <x:v>1</x:v>
      </x:c>
      <x:c r="E30" s="25" t="n">
        <x:f>IF(D30=0,0,IF(D30&gt;='Parts'!M30,'Parts'!N30,IF(D30&gt;='Parts'!K30,'Parts'!L30,'Parts'!J30)))</x:f>
        <x:v>0.11</x:v>
      </x:c>
      <x:c r="F30" s="27" t="n">
        <x:f>ROUND(D30*E30,2)</x:f>
        <x:v>0.11</x:v>
      </x:c>
      <x:c r="G30" s="22" t="n">
        <x:f>D30-C30</x:f>
        <x:v>0</x:v>
      </x:c>
      <x:c r="H30" s="17" t="str">
        <x:v>455-1902-ND</x:v>
      </x:c>
      <x:c r="I30" s="17" t="str">
        <x:v>https://www.digikey.com/en/products/detail/jst-sales-america-inc/XHP-8/923773</x:v>
      </x:c>
      <x:c r="J30" s="17" t="str">
        <x:v>Carrier harness end only; separate WT32-end mate required.</x:v>
      </x:c>
    </x:row>
    <x:row r="31" ht="66" customHeight="1">
      <x:c r="A31" s="3" t="str">
        <x:v>XH harness contacts</x:v>
      </x:c>
      <x:c r="B31" s="3" t="str">
        <x:v>BXH-001T-P0.6</x:v>
      </x:c>
      <x:c r="C31" s="24" t="n">
        <x:v>11</x:v>
      </x:c>
      <x:c r="D31" s="23" t="n">
        <x:v>11</x:v>
      </x:c>
      <x:c r="E31" s="26" t="n">
        <x:f>IF(D31=0,0,IF(D31&gt;='Parts'!O31,'Parts'!P31,IF(D31&gt;='Parts'!M31,'Parts'!N31,IF(D31&gt;='Parts'!K31,'Parts'!L31,'Parts'!J31))))</x:f>
        <x:v>0.05</x:v>
      </x:c>
      <x:c r="F31" s="28" t="n">
        <x:f>ROUND(D31*E31,2)</x:f>
        <x:v>0.55</x:v>
      </x:c>
      <x:c r="G31" s="24" t="n">
        <x:f>D31-C31</x:f>
        <x:v>0</x:v>
      </x:c>
      <x:c r="H31" s="3" t="str">
        <x:v>BXH-001T-P0.6-ND</x:v>
      </x:c>
      <x:c r="I31" s="3" t="str">
        <x:v>https://www.digikey.com/en/products/detail/jst-sales-america-inc/BXH-001T-P0-6/7423881</x:v>
      </x:c>
      <x:c r="J31" s="3" t="str">
        <x:v>4 contacts for two 2-pin plugs + 7 for EXT; J3 pin 8 empty. Prefer 22 AWG for power. Loose contacts avoid 100-piece strip MOQ. Crimp tool/wire not included.</x:v>
      </x:c>
    </x:row>
    <x:row r="32" ht="66" customHeight="1">
      <x:c r="A32" s="17" t="str">
        <x:v>JP1 shunt, JP2 shunt</x:v>
      </x:c>
      <x:c r="B32" s="17" t="str">
        <x:v>SPC02SYAN</x:v>
      </x:c>
      <x:c r="C32" s="22" t="n">
        <x:v>2</x:v>
      </x:c>
      <x:c r="D32" s="23" t="n">
        <x:v>2</x:v>
      </x:c>
      <x:c r="E32" s="25" t="n">
        <x:f>IF(D32=0,0,IF(D32&gt;='Parts'!M32,'Parts'!N32,IF(D32&gt;='Parts'!K32,'Parts'!L32,'Parts'!J32)))</x:f>
        <x:v>0.1</x:v>
      </x:c>
      <x:c r="F32" s="27" t="n">
        <x:f>ROUND(D32*E32,2)</x:f>
        <x:v>0.2</x:v>
      </x:c>
      <x:c r="G32" s="22" t="n">
        <x:f>D32-C32</x:f>
        <x:v>0</x:v>
      </x:c>
      <x:c r="H32" s="17" t="str">
        <x:v>S9001-ND</x:v>
      </x:c>
      <x:c r="I32" s="17" t="str">
        <x:v>https://www.digikey.com/en/products/detail/sullins-connector-solutions/SPC02SYAN/76375</x:v>
      </x:c>
      <x:c r="J32" s="17" t="str">
        <x:v>One shunt per header. Remove JP1 for WT32 USB programming. JP2 selects 1-2 PD or 2-3 WALL only while unpowered. 3 A rating: https://www.sullinscorp.com/images/SPC02SYAN-0-3293.pdf</x:v>
      </x:c>
    </x:row>
    <x:row r="33" ht="31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31" customHeight="1">
      <x:c r="A34" s="30" t="str">
        <x:v>DigiKey parts subtotal</x:v>
      </x:c>
      <x:c r="B34" s="30"/>
      <x:c r="C34" s="30"/>
      <x:c r="D34" s="30"/>
      <x:c r="E34" s="30"/>
      <x:c r="F34" s="31" t="n">
        <x:f>SUM(F6:F32)</x:f>
        <x:v>27.620000000000005</x:v>
      </x:c>
      <x:c r="G34" s="30"/>
      <x:c r="H34" s="30"/>
      <x:c r="I34" s="3"/>
      <x:c r="J34" s="3"/>
    </x:row>
    <x:row r="35" ht="31" customHeight="1">
      <x:c r="A35" s="3" t="str">
        <x:v>Carrier parts plus MOD1</x:v>
      </x:c>
      <x:c r="B35" s="3"/>
      <x:c r="C35" s="3"/>
      <x:c r="D35" s="3"/>
      <x:c r="E35" s="3"/>
      <x:c r="F35" s="32" t="n">
        <x:f>SUM(F6:F28)</x:f>
        <x:v>26.560000000000006</x:v>
      </x:c>
      <x:c r="G35" s="3"/>
      <x:c r="H35" s="3"/>
      <x:c r="I35" s="3"/>
      <x:c r="J35" s="3"/>
    </x:row>
    <x:row r="36" ht="31" customHeight="1">
      <x:c r="A36" s="3" t="str">
        <x:v>Mates and shunts</x:v>
      </x:c>
      <x:c r="B36" s="3"/>
      <x:c r="C36" s="3"/>
      <x:c r="D36" s="3"/>
      <x:c r="E36" s="3"/>
      <x:c r="F36" s="32" t="n">
        <x:f>SUM(F29:F32)</x:f>
        <x:v>1.06</x:v>
      </x:c>
      <x:c r="G36" s="3"/>
      <x:c r="H36" s="3"/>
      <x:c r="I36" s="3"/>
      <x:c r="J36" s="3"/>
    </x:row>
    <x:row r="37" ht="31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1" customHeight="1">
      <x:c r="A38" s="6" t="str">
        <x:v>Shipping, tax, tariffs, bare PCB, wire, crimp tools and unpriced items on Other items are excluded.</x:v>
      </x:c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31" customHeight="1">
      <x:c r="A39" s="6" t="str">
        <x:v>The CSV contains the initial 27 purchase lines. It does not update automatically when this workbook is edited.</x:v>
      </x:c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3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 ht="31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</x:sheetData>
  <x:conditionalFormatting sqref="G6:G32">
    <x:cfRule type="cellIs" dxfId="0" priority="1" operator="lessThan">
      <x:formula>0</x:formula>
    </x:cfRule>
  </x:conditionalFormatting>
  <x:dataValidations count="1">
    <x:dataValidation type="whole" operator="greaterThanOrEqual" sqref="D6:D32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B-T2F0-A5807-S3. JP2 selects PD (1-2) or wall (2-3) with one shunt; U2 is fixed 5 V / 2 A; J8 sockets the owned ADC.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PitClaw:TRACO_TSR_2N_SIP3</x:v>
      </x:c>
      <x:c r="E6" s="17" t="str">
        <x:v>Fixed-output converter; pin 1 VIN, 2 GND, 3 VOUT. Body 14 x 7.6 x 10.2 mm. Continuous short-circuit protection and automatic recovery; typical output current limit is 360% of rated output for this 5 V model. Maximum stated capacitive load is 820 uF. Verify all downstream capacitance, WT32/MG90S transients and enclosed temperature.</x:v>
      </x:c>
      <x:c r="F6" s="17" t="str">
        <x:v>Fixed 5 V 2 A non-isolated switching regulator, 6.5-36 V input, SIP-3 THT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 t="n">
        <x:v>30</x:v>
      </x:c>
      <x:c r="P6" s="25" t="n">
        <x:v>6.35733</x:v>
      </x:c>
      <x:c r="Q6" s="22" t="n">
        <x:v>50</x:v>
      </x:c>
      <x:c r="R6" s="25" t="n">
        <x:v>6.2812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receives 12 V from the PD module and feeds JP2 pin 1 (PD_12V);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J9</x:v>
      </x:c>
      <x:c r="B10" s="17" t="str">
        <x:v>Tensility International</x:v>
      </x:c>
      <x:c r="C10" s="17" t="str">
        <x:v>54-00133</x:v>
      </x:c>
      <x:c r="D10" s="17" t="str">
        <x:v>Connector_BarrelJack:BarrelJack_Horizontal</x:v>
      </x:c>
      <x:c r="E10" s="17" t="str">
        <x:v>Pin 1/A is WALL_12V, pin 2/B is GND, pin 3/C is unused. The internal NC switch joins B-C, NOT the center contact. Select wall power with JP2 pins 2-3; select PD with JP2 pins 1-2. Change shunt/input plugs only with sources unpowered.</x:v>
      </x:c>
      <x:c r="F10" s="17" t="str">
        <x:v>5.5 x 2.1 mm center-positive barrel inlet; sleeve NC contact unused</x:v>
      </x:c>
      <x:c r="G10" s="17" t="str">
        <x:v>https://www.digikey.com/en/products/detail/tensility-international-corp/54-00133/9685442</x:v>
      </x:c>
      <x:c r="H10" s="22" t="n">
        <x:v>5019</x:v>
      </x:c>
      <x:c r="I10" s="22" t="n">
        <x:v>1</x:v>
      </x:c>
      <x:c r="J10" s="25" t="n">
        <x:v>0.9</x:v>
      </x:c>
      <x:c r="K10" s="22" t="n">
        <x:v>10</x:v>
      </x:c>
      <x:c r="L10" s="25" t="n">
        <x:v>0.766</x:v>
      </x:c>
      <x:c r="M10" s="22" t="n">
        <x:v>25</x:v>
      </x:c>
      <x:c r="N10" s="25" t="n">
        <x:v>0.7176</x:v>
      </x:c>
      <x:c r="O10" s="22" t="n">
        <x:v>50</x:v>
      </x:c>
      <x:c r="P10" s="25" t="n">
        <x:v>0.6834</x:v>
      </x:c>
      <x:c r="Q10" s="22" t="n">
        <x:v>100</x:v>
      </x:c>
      <x:c r="R10" s="25" t="n">
        <x:v>0.6507</x:v>
      </x:c>
      <x:c r="S10" s="17" t="str">
        <x:v>Carrier</x:v>
      </x:c>
    </x:row>
    <x:row r="11" ht="88" customHeight="1">
      <x:c r="A11" s="3" t="str">
        <x:v>J3</x:v>
      </x:c>
      <x:c r="B11" s="3" t="str">
        <x:v>JST</x:v>
      </x:c>
      <x:c r="C11" s="3" t="str">
        <x:v>B8B-XH-A</x:v>
      </x:c>
      <x:c r="D11" s="3" t="str">
        <x:v>Connector_JST:JST_XH_B8B-XH-A_1x08_P2.50mm_Vertical</x:v>
      </x:c>
      <x:c r="E11" s="3" t="str">
        <x:v>Carrier end of WT32 EXT harness; not the WT32's 1.25 mm connector. Pin 8 unused.</x:v>
      </x:c>
      <x:c r="F11" s="3" t="str">
        <x:v>8-pin XH vertical header, 2.50 mm pitch</x:v>
      </x:c>
      <x:c r="G11" s="3" t="str">
        <x:v>https://www.digikey.com/en/products/detail/jst-sales-america-inc/B8B-XH-A/1651049</x:v>
      </x:c>
      <x:c r="H11" s="24" t="n">
        <x:v>17894</x:v>
      </x:c>
      <x:c r="I11" s="24" t="n">
        <x:v>1</x:v>
      </x:c>
      <x:c r="J11" s="26" t="n">
        <x:v>0.3</x:v>
      </x:c>
      <x:c r="K11" s="24" t="n">
        <x:v>10</x:v>
      </x:c>
      <x:c r="L11" s="26" t="n">
        <x:v>0.257</x:v>
      </x:c>
      <x:c r="M11" s="24" t="n">
        <x:v>250</x:v>
      </x:c>
      <x:c r="N11" s="26" t="n">
        <x:v>0.20448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J8</x:v>
      </x:c>
      <x:c r="B12" s="17" t="str">
        <x:v>Sullins</x:v>
      </x:c>
      <x:c r="C12" s="17" t="str">
        <x:v>PPPC101LFBN-RC</x:v>
      </x:c>
      <x:c r="D12" s="17" t="str">
        <x:v>PitClaw:ADS1115_Blue_1x10_DRAFT</x:v>
      </x:c>
      <x:c r="E12" s="17" t="str">
        <x:v>Socket only; ADC already owned. Confirm module pitch, edge offsets, insertion height and insulating support.</x:v>
      </x:c>
      <x:c r="F12" s="17" t="str">
        <x:v>1x10 female socket, 2.54 mm, 8.51 mm high</x:v>
      </x:c>
      <x:c r="G12" s="17" t="str">
        <x:v>https://www.digikey.com/en/products/detail/sullins-connector-solutions/PPPC101LFBN-RC/810182</x:v>
      </x:c>
      <x:c r="H12" s="22" t="n">
        <x:v>24709</x:v>
      </x:c>
      <x:c r="I12" s="22" t="n">
        <x:v>1</x:v>
      </x:c>
      <x:c r="J12" s="25" t="n">
        <x:v>0.66</x:v>
      </x:c>
      <x:c r="K12" s="22" t="n">
        <x:v>10</x:v>
      </x:c>
      <x:c r="L12" s="25" t="n">
        <x:v>0.559</x:v>
      </x:c>
      <x:c r="M12" s="22" t="n">
        <x:v>100</x:v>
      </x:c>
      <x:c r="N12" s="25" t="n">
        <x:v>0.4752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JP1</x:v>
      </x:c>
      <x:c r="B13" s="3" t="str">
        <x:v>Amphenol ICC</x:v>
      </x:c>
      <x:c r="C13" s="3" t="str">
        <x:v>68000-102HLF</x:v>
      </x:c>
      <x:c r="D13" s="3" t="str">
        <x:v>Connector_PinHeader_2.54mm:PinHeader_1x02_P2.54mm_Vertical</x:v>
      </x:c>
      <x:c r="E13" s="3" t="str">
        <x:v>Shunt ordered separately; remove shunt before powering WT32 from programming USB.</x:v>
      </x:c>
      <x:c r="F13" s="3" t="str">
        <x:v>1x2 male jumper header, 2.54 mm</x:v>
      </x:c>
      <x:c r="G13" s="3" t="str">
        <x:v>https://www.digikey.com/en/products/detail/amphenol-cs-fci/68000-102HLF/1493545</x:v>
      </x:c>
      <x:c r="H13" s="24" t="n">
        <x:v>103584</x:v>
      </x:c>
      <x:c r="I13" s="24" t="n">
        <x:v>1</x:v>
      </x:c>
      <x:c r="J13" s="26" t="n">
        <x:v>0.24</x:v>
      </x:c>
      <x:c r="K13" s="24" t="n">
        <x:v>10</x:v>
      </x:c>
      <x:c r="L13" s="26" t="n">
        <x:v>0.203</x:v>
      </x:c>
      <x:c r="M13" s="24" t="n">
        <x:v>100</x:v>
      </x:c>
      <x:c r="N13" s="26" t="n">
        <x:v>0.1726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JP2</x:v>
      </x:c>
      <x:c r="B14" s="17" t="str">
        <x:v>Amphenol ICC</x:v>
      </x:c>
      <x:c r="C14" s="17" t="str">
        <x:v>68000-103HLF</x:v>
      </x:c>
      <x:c r="D14" s="17" t="str">
        <x:v>Connector_PinHeader_2.54mm:PinHeader_1x03_P2.54mm_Vertical</x:v>
      </x:c>
      <x:c r="E14" s="17" t="str">
        <x:v>Fit ONE SPC02SYAN 3 A shunt: pins 1-2 USB-PD, pins 2-3 WALL. Center pin 2 is +12V to loads. Remove all source power before moving the shunt. No automatic barrel priority. Rating: https://www.amphenol-cs.com/product/68000103hlf.html</x:v>
      </x:c>
      <x:c r="F14" s="17" t="str">
        <x:v>1x3 male source-select header, 2.54 mm, 3 A per contact</x:v>
      </x:c>
      <x:c r="G14" s="17" t="str">
        <x:v>https://www.digikey.com/en/products/detail/amphenol-cs-fci/68000-103HLF/2023309</x:v>
      </x:c>
      <x:c r="H14" s="22" t="n">
        <x:v>41006</x:v>
      </x:c>
      <x:c r="I14" s="22" t="n">
        <x:v>1</x:v>
      </x:c>
      <x:c r="J14" s="25" t="n">
        <x:v>0.34</x:v>
      </x:c>
      <x:c r="K14" s="22" t="n">
        <x:v>10</x:v>
      </x:c>
      <x:c r="L14" s="25" t="n">
        <x:v>0.288</x:v>
      </x:c>
      <x:c r="M14" s="22" t="n">
        <x:v>100</x:v>
      </x:c>
      <x:c r="N14" s="25" t="n">
        <x:v>0.2451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C1</x:v>
      </x:c>
      <x:c r="B15" s="3" t="str">
        <x:v>Rubycon</x:v>
      </x:c>
      <x:c r="C15" s="3" t="str">
        <x:v>35PX470MEFC10X12.5</x:v>
      </x:c>
      <x:c r="D15" s="3" t="str">
        <x:v>Capacitor_THT:CP_Radial_D10.0mm_P5.00mm</x:v>
      </x:c>
      <x:c r="E15" s="3" t="str">
        <x:v>14 mm maximum seated height. 630 mA ripple at 10 kHz; verify actual input ripple and heating.</x:v>
      </x:c>
      <x:c r="F15" s="3" t="str">
        <x:v>470 uF 35 V, 105 C radial, D10 / P5</x:v>
      </x:c>
      <x:c r="G15" s="3" t="str">
        <x:v>https://www.digikey.com/en/products/detail/rubycon/35PX470MEFC10X12-5/3134236</x:v>
      </x:c>
      <x:c r="H15" s="24" t="n">
        <x:v>64500</x:v>
      </x:c>
      <x:c r="I15" s="24" t="n">
        <x:v>1</x:v>
      </x:c>
      <x:c r="J15" s="26" t="n">
        <x:v>0.66</x:v>
      </x:c>
      <x:c r="K15" s="24" t="n">
        <x:v>10</x:v>
      </x:c>
      <x:c r="L15" s="26" t="n">
        <x:v>0.41</x:v>
      </x:c>
      <x:c r="M15" s="24" t="n">
        <x:v>50</x:v>
      </x:c>
      <x:c r="N15" s="26" t="n">
        <x:v>0.305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C3</x:v>
      </x:c>
      <x:c r="B16" s="17" t="str">
        <x:v>Rubycon</x:v>
      </x:c>
      <x:c r="C16" s="17" t="str">
        <x:v>16ZLH470MEFC8X11.5</x:v>
      </x:c>
      <x:c r="D16" s="17" t="str">
        <x:v>Capacitor_THT:CP_Radial_D8.0mm_P3.50mm</x:v>
      </x:c>
      <x:c r="E16" s="17" t="str">
        <x:v>Replaces C3 220 uF plus C5 100 uF with one 470 uF part. 13 mm maximum seated height; remains below U2's 820 uF stated maximum capacitive load before downstream capacitance is counted.</x:v>
      </x:c>
      <x:c r="F16" s="17" t="str">
        <x:v>470 uF 16 V, low-impedance 105 C radial, D8 / P3.5</x:v>
      </x:c>
      <x:c r="G16" s="17" t="str">
        <x:v>https://www.digikey.com/en/products/detail/rubycon/16ZLH470MEFC8X11-5/3563382</x:v>
      </x:c>
      <x:c r="H16" s="22" t="n">
        <x:v>1853</x:v>
      </x:c>
      <x:c r="I16" s="22" t="n">
        <x:v>1</x:v>
      </x:c>
      <x:c r="J16" s="25" t="n">
        <x:v>0.52</x:v>
      </x:c>
      <x:c r="K16" s="22" t="n">
        <x:v>10</x:v>
      </x:c>
      <x:c r="L16" s="25" t="n">
        <x:v>0.318</x:v>
      </x:c>
      <x:c r="M16" s="22" t="n">
        <x:v>50</x:v>
      </x:c>
      <x:c r="N16" s="25" t="n">
        <x:v>0.2348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C2, C4, C10, C11, C12</x:v>
      </x:c>
      <x:c r="B17" s="3" t="str">
        <x:v>TDK</x:v>
      </x:c>
      <x:c r="C17" s="3" t="str">
        <x:v>FG28X7R1H104KNT06</x:v>
      </x:c>
      <x:c r="D17" s="3" t="str">
        <x:v>PitClaw:C_TDK_FG28X7R1H104KNT06_P5</x:v>
      </x:c>
      <x:c r="E17" s="3" t="str">
        <x:v>4 x 2.5 mm body, 5.5 mm maximum seated height and 5 mm formed-lead pitch. Carrier-level ADC-rail bypass C13 is removed because the socketed module must provide local bypassing.</x:v>
      </x:c>
      <x:c r="F17" s="3" t="str">
        <x:v>100 nF 50 V X7R 10%, radial MLCC, P5</x:v>
      </x:c>
      <x:c r="G17" s="3" t="str">
        <x:v>https://www.digikey.com/en/products/detail/tdk/FG28X7R1H104KNT06/5803202</x:v>
      </x:c>
      <x:c r="H17" s="24" t="n">
        <x:v>72175</x:v>
      </x:c>
      <x:c r="I17" s="24" t="n">
        <x:v>1</x:v>
      </x:c>
      <x:c r="J17" s="26" t="n">
        <x:v>0.25</x:v>
      </x:c>
      <x:c r="K17" s="24" t="n">
        <x:v>10</x:v>
      </x:c>
      <x:c r="L17" s="26" t="n">
        <x:v>0.146</x:v>
      </x:c>
      <x:c r="M17" s="24" t="n">
        <x:v>50</x:v>
      </x:c>
      <x:c r="N17" s="26" t="n">
        <x:v>0.1048</x:v>
      </x:c>
      <x:c r="O17" s="24" t="n">
        <x:v>100</x:v>
      </x:c>
      <x:c r="P17" s="26" t="n">
        <x:v>0.0922</x:v>
      </x:c>
      <x:c r="Q17" s="24"/>
      <x:c r="R17" s="26"/>
      <x:c r="S17" s="3" t="str">
        <x:v>Carrier</x:v>
      </x:c>
    </x:row>
    <x:row r="18" ht="88" customHeight="1">
      <x:c r="A18" s="17" t="str">
        <x:v>D2</x:v>
      </x:c>
      <x:c r="B18" s="17" t="str">
        <x:v>SMC Diode Solutions</x:v>
      </x:c>
      <x:c r="C18" s="17" t="str">
        <x:v>SB140</x:v>
      </x:c>
      <x:c r="D18" s="17" t="str">
        <x:v>Diode_THT:D_DO-41_SOD81_P10.16mm_Horizontal</x:v>
      </x:c>
      <x:c r="E18" s="17" t="str">
        <x:v>Stripe/cathode to FAN_OUT; verify clamp current against the actual blower.</x:v>
      </x:c>
      <x:c r="F18" s="17" t="str">
        <x:v>1 A 40 V Schottky diode, DO-41</x:v>
      </x:c>
      <x:c r="G18" s="17" t="str">
        <x:v>https://www.digikey.com/en/products/detail/smc-diode-solutions/SB140/6022959</x:v>
      </x:c>
      <x:c r="H18" s="22" t="n">
        <x:v>38472</x:v>
      </x:c>
      <x:c r="I18" s="22" t="n">
        <x:v>1</x:v>
      </x:c>
      <x:c r="J18" s="25" t="n">
        <x:v>0.23</x:v>
      </x:c>
      <x:c r="K18" s="22" t="n">
        <x:v>10</x:v>
      </x:c>
      <x:c r="L18" s="25" t="n">
        <x:v>0.139</x:v>
      </x:c>
      <x:c r="M18" s="22" t="n">
        <x:v>50</x:v>
      </x:c>
      <x:c r="N18" s="25" t="n">
        <x:v>0.0994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Q1</x:v>
      </x:c>
      <x:c r="B19" s="3" t="str">
        <x:v>Infineon Technologies</x:v>
      </x:c>
      <x:c r="C19" s="3" t="str">
        <x:v>IRF5305PBF</x:v>
      </x:c>
      <x:c r="D19" s="3" t="str">
        <x:v>PitClaw:IRF5305_TO220_Horizontal_TabDown</x:v>
      </x:c>
      <x:c r="E19" s="3" t="str">
        <x:v>Mount horizontally, tab down, using the formed-lead footprint. Pin 1 gate, 2 drain, 3 source; tab is live FAN_OUT. Reserve 6.5 mm height including 1 mm insulating support and forming tolerance. Retain with insulating support and side adhesive fillets, no tab bolt. Support leads during forming; verify sample fit and enclosed temperature at 100 Hz fan PWM.</x:v>
      </x:c>
      <x:c r="F19" s="3" t="str">
        <x:v>P-channel 55 V MOSFET, 31 A, TO-220AB</x:v>
      </x:c>
      <x:c r="G19" s="3" t="str">
        <x:v>https://www.digikey.com/en/products/detail/infineon-technologies/IRF5305PBF/811987</x:v>
      </x:c>
      <x:c r="H19" s="24" t="n">
        <x:v>18282</x:v>
      </x:c>
      <x:c r="I19" s="24" t="n">
        <x:v>1</x:v>
      </x:c>
      <x:c r="J19" s="26" t="n">
        <x:v>2.53</x:v>
      </x:c>
      <x:c r="K19" s="24" t="n">
        <x:v>10</x:v>
      </x:c>
      <x:c r="L19" s="26" t="n">
        <x:v>1.628</x:v>
      </x:c>
      <x:c r="M19" s="24" t="n">
        <x:v>50</x:v>
      </x:c>
      <x:c r="N19" s="26" t="n">
        <x:v>1.236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Q2</x:v>
      </x:c>
      <x:c r="B20" s="17" t="str">
        <x:v>onsemi</x:v>
      </x:c>
      <x:c r="C20" s="17" t="str">
        <x:v>2N3904BU</x:v>
      </x:c>
      <x:c r="D20" s="17" t="str">
        <x:v>Package_TO_SOT_THT:TO-92_Inline_Wide</x:v>
      </x:c>
      <x:c r="E20" s="17" t="str">
        <x:v>Blower gate-driver transistor only. Form leads carefully to the wide-pitch THT footprint; do not reverse E/C.</x:v>
      </x:c>
      <x:c r="F20" s="17" t="str">
        <x:v>NPN transistor, TO-92, 1E/2B/3C</x:v>
      </x:c>
      <x:c r="G20" s="17" t="str">
        <x:v>https://www.digikey.com/en/products/detail/onsemi/2N3904BU/1413</x:v>
      </x:c>
      <x:c r="H20" s="22" t="n">
        <x:v>165917</x:v>
      </x:c>
      <x:c r="I20" s="22" t="n">
        <x:v>1</x:v>
      </x:c>
      <x:c r="J20" s="25" t="n">
        <x:v>0.29</x:v>
      </x:c>
      <x:c r="K20" s="22" t="n">
        <x:v>10</x:v>
      </x:c>
      <x:c r="L20" s="25" t="n">
        <x:v>0.179</x:v>
      </x:c>
      <x:c r="M20" s="22" t="n">
        <x:v>100</x:v>
      </x:c>
      <x:c r="N20" s="25" t="n">
        <x:v>0.1113</x:v>
      </x:c>
      <x:c r="O20" s="22"/>
      <x:c r="P20" s="25"/>
      <x:c r="Q20" s="22"/>
      <x:c r="R20" s="25"/>
      <x:c r="S20" s="17" t="str">
        <x:v>Carrier</x:v>
      </x:c>
    </x:row>
    <x:row r="21" ht="88" customHeight="1">
      <x:c r="A21" s="3" t="str">
        <x:v>BZ1</x:v>
      </x:c>
      <x:c r="B21" s="3" t="str">
        <x:v>TDK</x:v>
      </x:c>
      <x:c r="C21" s="3" t="str">
        <x:v>PS1240P02BT</x:v>
      </x:c>
      <x:c r="D21" s="3" t="str">
        <x:v>PitClaw:Piezo_TDK_PS1240P02BT_D12.2_P5</x:v>
      </x:c>
      <x:c r="E21" s="3" t="str">
        <x:v>Direct 3.3 V GPIO drive through R6 at 4 kHz; pin 2 to ground. 7.8 mm maximum seated height. Confirm useful audibility in the enclosure.</x:v>
      </x:c>
      <x:c r="F21" s="3" t="str">
        <x:v>Passive piezo transducer, 3 V rated, 4 kHz, D12.2 / P5</x:v>
      </x:c>
      <x:c r="G21" s="3" t="str">
        <x:v>https://www.digikey.com/en/products/detail/tdk-corporation/PS1240P02BT/935930</x:v>
      </x:c>
      <x:c r="H21" s="24" t="n">
        <x:v>44618</x:v>
      </x:c>
      <x:c r="I21" s="24" t="n">
        <x:v>1</x:v>
      </x:c>
      <x:c r="J21" s="26" t="n">
        <x:v>0.67</x:v>
      </x:c>
      <x:c r="K21" s="24" t="n">
        <x:v>10</x:v>
      </x:c>
      <x:c r="L21" s="26" t="n">
        <x:v>0.501</x:v>
      </x:c>
      <x:c r="M21" s="24" t="n">
        <x:v>25</x:v>
      </x:c>
      <x:c r="N21" s="26" t="n">
        <x:v>0.4492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R1, R13, R14, R15, R16</x:v>
      </x:c>
      <x:c r="B22" s="17" t="str">
        <x:v>YAGEO</x:v>
      </x:c>
      <x:c r="C22" s="17" t="str">
        <x:v>MFR-25FBF52-1K</x:v>
      </x:c>
      <x:c r="D22" s="17" t="str">
        <x:v>Resistor_THT:R_Axial_DIN0207_L6.3mm_D2.5mm_P7.62mm_Horizontal</x:v>
      </x:c>
      <x:c r="E22" s="17" t="str">
        <x:v>R1 dissipates about 0.144 W at continuous fan-on. Buy ten for $0.42, less than five for $0.50.</x:v>
      </x:c>
      <x:c r="F22" s="17" t="str">
        <x:v>1 kOhm 1% metal film, 0.25 W, axial</x:v>
      </x:c>
      <x:c r="G22" s="17" t="str">
        <x:v>https://www.digikey.com/en/products/detail/yageo/MFR-25FBF52-1K/13011</x:v>
      </x:c>
      <x:c r="H22" s="22" t="n">
        <x:v>92700</x:v>
      </x:c>
      <x:c r="I22" s="22" t="n">
        <x:v>1</x:v>
      </x:c>
      <x:c r="J22" s="25" t="n">
        <x:v>0.1</x:v>
      </x:c>
      <x:c r="K22" s="22" t="n">
        <x:v>10</x:v>
      </x:c>
      <x:c r="L22" s="25" t="n">
        <x:v>0.042</x:v>
      </x:c>
      <x:c r="M22" s="22" t="n">
        <x:v>25</x:v>
      </x:c>
      <x:c r="N22" s="25" t="n">
        <x:v>0.0348</x:v>
      </x:c>
      <x:c r="O22" s="22" t="n">
        <x:v>50</x:v>
      </x:c>
      <x:c r="P22" s="25" t="n">
        <x:v>0.0304</x:v>
      </x:c>
      <x:c r="Q22" s="22" t="n">
        <x:v>100</x:v>
      </x:c>
      <x:c r="R22" s="25" t="n">
        <x:v>0.0268</x:v>
      </x:c>
      <x:c r="S22" s="17" t="str">
        <x:v>Carrier</x:v>
      </x:c>
    </x:row>
    <x:row r="23" ht="88" customHeight="1">
      <x:c r="A23" s="3" t="str">
        <x:v>R2</x:v>
      </x:c>
      <x:c r="B23" s="3" t="str">
        <x:v>YAGEO</x:v>
      </x:c>
      <x:c r="C23" s="3" t="str">
        <x:v>MFR-25FBF52-2K2</x:v>
      </x:c>
      <x:c r="D23" s="3" t="str">
        <x:v>Resistor_THT:R_Axial_DIN0207_L6.3mm_D2.5mm_P7.62mm_Horizontal</x:v>
      </x:c>
      <x:c r="E23" s="3" t="str">
        <x:v>Blower transistor base resistor; 6.3 x 2.4 mm body and 7.62 mm formed lead pitch.</x:v>
      </x:c>
      <x:c r="F23" s="3" t="str">
        <x:v>2.2 kOhm 1% metal film, 0.25 W, axial</x:v>
      </x:c>
      <x:c r="G23" s="3" t="str">
        <x:v>https://www.digikey.com/en/products/detail/yageo/MFR-25FBF52-2K2/9138108</x:v>
      </x:c>
      <x:c r="H23" s="24" t="n">
        <x:v>18468</x:v>
      </x:c>
      <x:c r="I23" s="24" t="n">
        <x:v>1</x:v>
      </x:c>
      <x:c r="J23" s="26" t="n">
        <x:v>0.1</x:v>
      </x:c>
      <x:c r="K23" s="24" t="n">
        <x:v>10</x:v>
      </x:c>
      <x:c r="L23" s="26" t="n">
        <x:v>0.042</x:v>
      </x:c>
      <x:c r="M23" s="24" t="n">
        <x:v>25</x:v>
      </x:c>
      <x:c r="N23" s="26" t="n">
        <x:v>0.0348</x:v>
      </x:c>
      <x:c r="O23" s="24" t="n">
        <x:v>50</x:v>
      </x:c>
      <x:c r="P23" s="26" t="n">
        <x:v>0.0304</x:v>
      </x:c>
      <x:c r="Q23" s="24" t="n">
        <x:v>100</x:v>
      </x:c>
      <x:c r="R23" s="26" t="n">
        <x:v>0.0268</x:v>
      </x:c>
      <x:c r="S23" s="3" t="str">
        <x:v>Carrier</x:v>
      </x:c>
    </x:row>
    <x:row r="24" ht="88" customHeight="1">
      <x:c r="A24" s="17" t="str">
        <x:v>R3</x:v>
      </x:c>
      <x:c r="B24" s="17" t="str">
        <x:v>YAGEO</x:v>
      </x:c>
      <x:c r="C24" s="17" t="str">
        <x:v>MFR-25FBF52-100K</x:v>
      </x:c>
      <x:c r="D24" s="17" t="str">
        <x:v>Resistor_THT:R_Axial_DIN0207_L6.3mm_D2.5mm_P7.62mm_Horizontal</x:v>
      </x:c>
      <x:c r="E24" s="17" t="str">
        <x:v>Blower-transistor base pull-down.</x:v>
      </x:c>
      <x:c r="F24" s="17" t="str">
        <x:v>100 kOhm 1% metal film, 0.25 W, axial</x:v>
      </x:c>
      <x:c r="G24" s="17" t="str">
        <x:v>https://www.digikey.com/en/products/detail/yageo/MFR-25FBF52-100K/13473</x:v>
      </x:c>
      <x:c r="H24" s="22" t="n">
        <x:v>17481</x:v>
      </x:c>
      <x:c r="I24" s="22" t="n">
        <x:v>1</x:v>
      </x:c>
      <x:c r="J24" s="25" t="n">
        <x:v>0.1</x:v>
      </x:c>
      <x:c r="K24" s="22" t="n">
        <x:v>10</x:v>
      </x:c>
      <x:c r="L24" s="25" t="n">
        <x:v>0.042</x:v>
      </x:c>
      <x:c r="M24" s="22" t="n">
        <x:v>25</x:v>
      </x:c>
      <x:c r="N24" s="25" t="n">
        <x:v>0.0348</x:v>
      </x:c>
      <x:c r="O24" s="22" t="n">
        <x:v>50</x:v>
      </x:c>
      <x:c r="P24" s="25" t="n">
        <x:v>0.0304</x:v>
      </x:c>
      <x:c r="Q24" s="22" t="n">
        <x:v>100</x:v>
      </x:c>
      <x:c r="R24" s="25" t="n">
        <x:v>0.0268</x:v>
      </x:c>
      <x:c r="S24" s="17" t="str">
        <x:v>Carrier</x:v>
      </x:c>
    </x:row>
    <x:row r="25" ht="88" customHeight="1">
      <x:c r="A25" s="3" t="str">
        <x:v>R6</x:v>
      </x:c>
      <x:c r="B25" s="3" t="str">
        <x:v>YAGEO</x:v>
      </x:c>
      <x:c r="C25" s="3" t="str">
        <x:v>MFR-25FBF52-330R</x:v>
      </x:c>
      <x:c r="D25" s="3" t="str">
        <x:v>Resistor_THT:R_Axial_DIN0207_L6.3mm_D2.5mm_P7.62mm_Horizontal</x:v>
      </x:c>
      <x:c r="E25" s="3" t="str">
        <x:v>Direct-drive piezo series resistor. Limits the ideal initial 3.3 V capacitive-step current to 10 mA; 6.3 x 2.4 mm body and 7.62 mm formed lead pitch. Price checked 2026-09-05.</x:v>
      </x:c>
      <x:c r="F25" s="3" t="str">
        <x:v>330 Ohm 1% metal film, 0.25 W, axial</x:v>
      </x:c>
      <x:c r="G25" s="3" t="str">
        <x:v>https://www.digikey.com/en/products/detail/yageo/MFR-25FBF52-330R/9138136</x:v>
      </x:c>
      <x:c r="H25" s="24" t="n">
        <x:v>16985</x:v>
      </x:c>
      <x:c r="I25" s="24" t="n">
        <x:v>1</x:v>
      </x:c>
      <x:c r="J25" s="26" t="n">
        <x:v>0.11</x:v>
      </x:c>
      <x:c r="K25" s="24" t="n">
        <x:v>10</x:v>
      </x:c>
      <x:c r="L25" s="26" t="n">
        <x:v>0.044</x:v>
      </x:c>
      <x:c r="M25" s="24" t="n">
        <x:v>25</x:v>
      </x:c>
      <x:c r="N25" s="26" t="n">
        <x:v>0.0368</x:v>
      </x:c>
      <x:c r="O25" s="24" t="n">
        <x:v>50</x:v>
      </x:c>
      <x:c r="P25" s="26" t="n">
        <x:v>0.0324</x:v>
      </x:c>
      <x:c r="Q25" s="24" t="n">
        <x:v>100</x:v>
      </x:c>
      <x:c r="R25" s="26" t="n">
        <x:v>0.0284</x:v>
      </x:c>
      <x:c r="S25" s="3" t="str">
        <x:v>Carrier</x:v>
      </x:c>
    </x:row>
    <x:row r="26" ht="88" customHeight="1">
      <x:c r="A26" s="17" t="str">
        <x:v>R4</x:v>
      </x:c>
      <x:c r="B26" s="17" t="str">
        <x:v>YAGEO</x:v>
      </x:c>
      <x:c r="C26" s="17" t="str">
        <x:v>MFR-25FBF52-220R</x:v>
      </x:c>
      <x:c r="D26" s="17" t="str">
        <x:v>Resistor_THT:R_Axial_DIN0207_L6.3mm_D2.5mm_P7.62mm_Horizontal</x:v>
      </x:c>
      <x:c r="E26" s="17" t="str">
        <x:v>Servo signal series resistor.</x:v>
      </x:c>
      <x:c r="F26" s="17" t="str">
        <x:v>220 Ohm 1% metal film, 0.25 W, axial</x:v>
      </x:c>
      <x:c r="G26" s="17" t="str">
        <x:v>https://www.digikey.com/en/products/detail/yageo/MFR-25FBF52-220R/9138097</x:v>
      </x:c>
      <x:c r="H26" s="22" t="n">
        <x:v>23966</x:v>
      </x:c>
      <x:c r="I26" s="22" t="n">
        <x:v>1</x:v>
      </x:c>
      <x:c r="J26" s="25" t="n">
        <x:v>0.1</x:v>
      </x:c>
      <x:c r="K26" s="22" t="n">
        <x:v>10</x:v>
      </x:c>
      <x:c r="L26" s="25" t="n">
        <x:v>0.042</x:v>
      </x:c>
      <x:c r="M26" s="22" t="n">
        <x:v>25</x:v>
      </x:c>
      <x:c r="N26" s="25" t="n">
        <x:v>0.0348</x:v>
      </x:c>
      <x:c r="O26" s="22" t="n">
        <x:v>50</x:v>
      </x:c>
      <x:c r="P26" s="25" t="n">
        <x:v>0.0304</x:v>
      </x:c>
      <x:c r="Q26" s="22" t="n">
        <x:v>100</x:v>
      </x:c>
      <x:c r="R26" s="25" t="n">
        <x:v>0.0268</x:v>
      </x:c>
      <x:c r="S26" s="17" t="str">
        <x:v>Carrier</x:v>
      </x:c>
    </x:row>
    <x:row r="27" ht="88" customHeight="1">
      <x:c r="A27" s="3" t="str">
        <x:v>R5, R10, R11, R12</x:v>
      </x:c>
      <x:c r="B27" s="3" t="str">
        <x:v>YAGEO</x:v>
      </x:c>
      <x:c r="C27" s="3" t="str">
        <x:v>MFR-25FBF52-10K</x:v>
      </x:c>
      <x:c r="D27" s="3" t="str">
        <x:v>Resistor_THT:R_Axial_DIN0207_L6.3mm_D2.5mm_P7.62mm_Horizontal</x:v>
      </x:c>
      <x:c r="E27" s="3" t="str">
        <x:v>R5 is the servo pull-down; R10-R12 are probe bias resistors. Using common 1% parts trades roughly 0.2-0.5 C worst-case bias error across typical cooking temperatures for a large prototype cost reduction; calibrate each probe channel.</x:v>
      </x:c>
      <x:c r="F27" s="3" t="str">
        <x:v>10 kOhm 1% metal film, 0.25 W, axial</x:v>
      </x:c>
      <x:c r="G27" s="3" t="str">
        <x:v>https://www.digikey.com/en/products/detail/yageo/MFR-25FBF52-10K/13219</x:v>
      </x:c>
      <x:c r="H27" s="24" t="n">
        <x:v>126991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MOD1</x:v>
      </x:c>
      <x:c r="B28" s="17" t="str">
        <x:v>Adafruit Industries</x:v>
      </x:c>
      <x:c r="C28" s="17" t="str">
        <x:v>5807</x:v>
      </x:c>
      <x:c r="D28" s="17" t="str">
        <x:v>Board-mounted module / 2 x M2 holes; wired to J1</x:v>
      </x:c>
      <x:c r="E28" s="17" t="str">
        <x:v>Board-mounted module. Configure and meter-check the 12 V / 3 A request before J1 connection. Official PCB outline is 20.32 x 23.495 mm with two 2.5 mm holes at 15.24 mm spacing. Mount over the carrier using M2 hardware and 3 mm insulating spacers; connect V+/GND to J1 with a short 20-22 AWG pair.</x:v>
      </x:c>
      <x:c r="F28" s="17" t="str">
        <x:v>HUSB238 USB-C PD sink breakout; fixed-voltage jumpers; 5-20 V requests</x:v>
      </x:c>
      <x:c r="G28" s="17" t="str">
        <x:v>https://www.digikey.com/en/products/detail/adafruit-industries-llc/5807/21839778</x:v>
      </x:c>
      <x:c r="H28" s="22" t="n">
        <x:v>1682</x:v>
      </x:c>
      <x:c r="I28" s="22" t="n">
        <x:v>1</x:v>
      </x:c>
      <x:c r="J28" s="25" t="n">
        <x:v>5.95</x:v>
      </x:c>
      <x:c r="K28" s="22"/>
      <x:c r="L28" s="25"/>
      <x:c r="M28" s="22"/>
      <x:c r="N28" s="25"/>
      <x:c r="O28" s="22"/>
      <x:c r="P28" s="25"/>
      <x:c r="Q28" s="22"/>
      <x:c r="R28" s="25"/>
      <x:c r="S28" s="17" t="str">
        <x:v>Module</x:v>
      </x:c>
    </x:row>
    <x:row r="29" ht="88" customHeight="1">
      <x:c r="A29" s="3" t="str">
        <x:v>J1 mate, J7 mate</x:v>
      </x:c>
      <x:c r="B29" s="3" t="str">
        <x:v>JST</x:v>
      </x:c>
      <x:c r="C29" s="3" t="str">
        <x:v>XHP-2</x:v>
      </x:c>
      <x:c r="D29" s="3" t="str">
        <x:v>Off-board accessory</x:v>
      </x:c>
      <x:c r="E29" s="3" t="str">
        <x:v>J1 and J7 use different voltage rails; clearly label both ends.</x:v>
      </x:c>
      <x:c r="F29" s="3" t="str">
        <x:v>2-pin XH cable housing</x:v>
      </x:c>
      <x:c r="G29" s="3" t="str">
        <x:v>https://www.digikey.com/en/products/detail/jst-sales-america-inc/XHP-2/555485</x:v>
      </x:c>
      <x:c r="H29" s="24"/>
      <x:c r="I29" s="24" t="n">
        <x:v>1</x:v>
      </x:c>
      <x:c r="J29" s="26" t="n">
        <x:v>0.1</x:v>
      </x:c>
      <x:c r="K29" s="24" t="n">
        <x:v>10</x:v>
      </x:c>
      <x:c r="L29" s="26" t="n">
        <x:v>0.059</x:v>
      </x:c>
      <x:c r="M29" s="24" t="n">
        <x:v>25</x:v>
      </x:c>
      <x:c r="N29" s="26" t="n">
        <x:v>0.0556</x:v>
      </x:c>
      <x:c r="O29" s="24"/>
      <x:c r="P29" s="26"/>
      <x:c r="Q29" s="24"/>
      <x:c r="R29" s="26"/>
      <x:c r="S29" s="3" t="str">
        <x:v>Harness</x:v>
      </x:c>
    </x:row>
    <x:row r="30" ht="88" customHeight="1">
      <x:c r="A30" s="17" t="str">
        <x:v>J3 mate</x:v>
      </x:c>
      <x:c r="B30" s="17" t="str">
        <x:v>JST</x:v>
      </x:c>
      <x:c r="C30" s="17" t="str">
        <x:v>XHP-8</x:v>
      </x:c>
      <x:c r="D30" s="17" t="str">
        <x:v>Off-board accessory</x:v>
      </x:c>
      <x:c r="E30" s="17" t="str">
        <x:v>Carrier harness end only; separate WT32-end mate required.</x:v>
      </x:c>
      <x:c r="F30" s="17" t="str">
        <x:v>8-pin XH cable housing</x:v>
      </x:c>
      <x:c r="G30" s="17" t="str">
        <x:v>https://www.digikey.com/en/products/detail/jst-sales-america-inc/XHP-8/923773</x:v>
      </x:c>
      <x:c r="H30" s="22"/>
      <x:c r="I30" s="22" t="n">
        <x:v>1</x:v>
      </x:c>
      <x:c r="J30" s="25" t="n">
        <x:v>0.11</x:v>
      </x:c>
      <x:c r="K30" s="22" t="n">
        <x:v>10</x:v>
      </x:c>
      <x:c r="L30" s="25" t="n">
        <x:v>0.095</x:v>
      </x:c>
      <x:c r="M30" s="22" t="n">
        <x:v>25</x:v>
      </x:c>
      <x:c r="N30" s="25" t="n">
        <x:v>0.0892</x:v>
      </x:c>
      <x:c r="O30" s="22"/>
      <x:c r="P30" s="25"/>
      <x:c r="Q30" s="22"/>
      <x:c r="R30" s="25"/>
      <x:c r="S30" s="17" t="str">
        <x:v>Harness</x:v>
      </x:c>
    </x:row>
    <x:row r="31" ht="88" customHeight="1">
      <x:c r="A31" s="3" t="str">
        <x:v>XH harness contacts</x:v>
      </x:c>
      <x:c r="B31" s="3" t="str">
        <x:v>JST</x:v>
      </x:c>
      <x:c r="C31" s="3" t="str">
        <x:v>BXH-001T-P0.6</x:v>
      </x:c>
      <x:c r="D31" s="3" t="str">
        <x:v>Off-board accessory</x:v>
      </x:c>
      <x:c r="E31" s="3" t="str">
        <x:v>4 contacts for two 2-pin plugs + 7 for EXT; J3 pin 8 empty. Prefer 22 AWG for power. Loose contacts avoid 100-piece strip MOQ. Crimp tool/wire not included.</x:v>
      </x:c>
      <x:c r="F31" s="3" t="str">
        <x:v>Loose crimp socket, 22-26 AWG</x:v>
      </x:c>
      <x:c r="G31" s="3" t="str">
        <x:v>https://www.digikey.com/en/products/detail/jst-sales-america-inc/BXH-001T-P0-6/7423881</x:v>
      </x:c>
      <x:c r="H31" s="24"/>
      <x:c r="I31" s="24" t="n">
        <x:v>1</x:v>
      </x:c>
      <x:c r="J31" s="26" t="n">
        <x:v>0.1</x:v>
      </x:c>
      <x:c r="K31" s="24" t="n">
        <x:v>10</x:v>
      </x:c>
      <x:c r="L31" s="26" t="n">
        <x:v>0.05</x:v>
      </x:c>
      <x:c r="M31" s="24" t="n">
        <x:v>25</x:v>
      </x:c>
      <x:c r="N31" s="26" t="n">
        <x:v>0.0468</x:v>
      </x:c>
      <x:c r="O31" s="24" t="n">
        <x:v>50</x:v>
      </x:c>
      <x:c r="P31" s="26" t="n">
        <x:v>0.0444</x:v>
      </x:c>
      <x:c r="Q31" s="24"/>
      <x:c r="R31" s="26"/>
      <x:c r="S31" s="3" t="str">
        <x:v>Harness</x:v>
      </x:c>
    </x:row>
    <x:row r="32" ht="88" customHeight="1">
      <x:c r="A32" s="17" t="str">
        <x:v>JP1 shunt, JP2 shunt</x:v>
      </x:c>
      <x:c r="B32" s="17" t="str">
        <x:v>Sullins</x:v>
      </x:c>
      <x:c r="C32" s="17" t="str">
        <x:v>SPC02SYAN</x:v>
      </x:c>
      <x:c r="D32" s="17" t="str">
        <x:v>Off-board accessory</x:v>
      </x:c>
      <x:c r="E32" s="17" t="str">
        <x:v>One shunt per header. Remove JP1 for WT32 USB programming. JP2 selects 1-2 PD or 2-3 WALL only while unpowered. 3 A rating: https://www.sullinscorp.com/images/SPC02SYAN-0-3293.pdf</x:v>
      </x:c>
      <x:c r="F32" s="17" t="str">
        <x:v>Removable 2.54 mm shorting shunt</x:v>
      </x:c>
      <x:c r="G32" s="17" t="str">
        <x:v>https://www.digikey.com/en/products/detail/sullins-connector-solutions/SPC02SYAN/76375</x:v>
      </x:c>
      <x:c r="H32" s="22"/>
      <x:c r="I32" s="22" t="n">
        <x:v>1</x:v>
      </x:c>
      <x:c r="J32" s="25" t="n">
        <x:v>0.1</x:v>
      </x:c>
      <x:c r="K32" s="22" t="n">
        <x:v>10</x:v>
      </x:c>
      <x:c r="L32" s="25" t="n">
        <x:v>0.029</x:v>
      </x:c>
      <x:c r="M32" s="22" t="n">
        <x:v>25</x:v>
      </x:c>
      <x:c r="N32" s="25" t="n">
        <x:v>0.0272</x:v>
      </x:c>
      <x:c r="O32" s="22"/>
      <x:c r="P32" s="25"/>
      <x:c r="Q32" s="22"/>
      <x:c r="R32" s="25"/>
      <x:c r="S32" s="17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Carrier enclosure r3: flat Q1, 5 mm posts and short inserts. Verify 16 mm fitted carrier envelope and 10.8 mm WT32 mount datum.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OEM blind-boss pattern. Mount to the top through the internal retainer. Measure boss depth, glass envelope, cables and antenna clearance.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offsets, total socketed height, local supply bypassing, and SDA/SCL pull-ups to VDD.</x:v>
      </x:c>
      <x:c r="E7" s="3"/>
      <x:c r="F7" s="3"/>
      <x:c r="G7" s="3"/>
      <x:c r="H7" s="3"/>
    </x:row>
    <x:row r="8" ht="62" customHeight="1">
      <x:c r="A8" s="17" t="str">
        <x:v>Carrier bare PCB</x:v>
      </x:c>
      <x:c r="B8" s="33" t="n">
        <x:v>1</x:v>
      </x:c>
      <x:c r="C8" s="17" t="str">
        <x:v>Not yet orderable</x:v>
      </x:c>
      <x:c r="D8" s="17" t="str">
        <x:v>60 × 92 mm draft. Zero routed tracks. Resolve footprint, antenna, mechanical and load checks before routing and Gerber release.</x:v>
      </x:c>
      <x:c r="E8" s="3"/>
      <x:c r="F8" s="3"/>
      <x:c r="G8" s="3"/>
      <x:c r="H8" s="3"/>
    </x:row>
    <x:row r="9" ht="62" customHeight="1">
      <x:c r="A9" s="3" t="str">
        <x:v>M2 × 10 mm screws</x:v>
      </x:c>
      <x:c r="B9" s="34" t="n">
        <x:v>2</x:v>
      </x:c>
      <x:c r="C9" s="3" t="str">
        <x:v>Source locally / unpriced</x:v>
      </x:c>
      <x:c r="D9" s="3" t="str">
        <x:v>Provisional 5807 fasteners. Verify the real module/spacer/carrier stack before buying a production quantity.</x:v>
      </x:c>
      <x:c r="E9" s="3"/>
      <x:c r="F9" s="3"/>
      <x:c r="G9" s="3"/>
      <x:c r="H9" s="3"/>
    </x:row>
    <x:row r="10" ht="62" customHeight="1">
      <x:c r="A10" s="17" t="str">
        <x:v>M2 washers, OD ≤5 mm</x:v>
      </x:c>
      <x:c r="B10" s="33" t="n">
        <x:v>4</x:v>
      </x:c>
      <x:c r="C10" s="17" t="str">
        <x:v>Source locally / unpriced</x:v>
      </x:c>
      <x:c r="D10" s="17" t="str">
        <x:v>One under each screw head and one under each nut. Check clearance to module components.</x:v>
      </x:c>
      <x:c r="E10" s="3"/>
      <x:c r="F10" s="3"/>
      <x:c r="G10" s="3"/>
      <x:c r="H10" s="3"/>
    </x:row>
    <x:row r="11" ht="62" customHeight="1">
      <x:c r="A11" s="3" t="str">
        <x:v>M2 ordinary nuts</x:v>
      </x:c>
      <x:c r="B11" s="34" t="n">
        <x:v>2</x:v>
      </x:c>
      <x:c r="C11" s="3" t="str">
        <x:v>Source locally / unpriced</x:v>
      </x:c>
      <x:c r="D11" s="3" t="str">
        <x:v>Install under the carrier PCB. Verify clearance to the bottom floor and nearby support posts. Prevent contact with exposed circuitry.</x:v>
      </x:c>
      <x:c r="E11" s="3"/>
      <x:c r="F11" s="3"/>
      <x:c r="G11" s="3"/>
      <x:c r="H11" s="3"/>
    </x:row>
    <x:row r="12" ht="62" customHeight="1">
      <x:c r="A12" s="17" t="str">
        <x:v>3 mm nylon spacers</x:v>
      </x:c>
      <x:c r="B12" s="33" t="n">
        <x:v>2</x:v>
      </x:c>
      <x:c r="C12" s="17" t="str">
        <x:v>Source locally / unpriced</x:v>
      </x:c>
      <x:c r="D12" s="17" t="str">
        <x:v>Between the Adafruit 5807 and carrier at H5/H6. Verify actual component-side and solder-joint clearance.</x:v>
      </x:c>
      <x:c r="E12" s="3"/>
      <x:c r="F12" s="3"/>
      <x:c r="G12" s="3"/>
      <x:c r="H12" s="3"/>
    </x:row>
    <x:row r="13" ht="62" customHeight="1">
      <x:c r="A13" s="3" t="str">
        <x:v>Adhesive insulating support</x:v>
      </x:c>
      <x:c r="B13" s="34" t="n">
        <x:v>1</x:v>
      </x:c>
      <x:c r="C13" s="3" t="str">
        <x:v>Source locally / unpriced</x:v>
      </x:c>
      <x:c r="D13" s="3" t="str">
        <x:v>Support the rear/free edge of the 5807 at approximately 3 mm height; do not cover components or solder joints.</x:v>
      </x:c>
      <x:c r="E13" s="3"/>
      <x:c r="F13" s="3"/>
      <x:c r="G13" s="3"/>
      <x:c r="H13" s="3"/>
    </x:row>
    <x:row r="14" ht="62" customHeight="1">
      <x:c r="A14" s="17" t="str">
        <x:v>Printed case and WT32 retainer</x:v>
      </x:c>
      <x:c r="B14" s="33" t="n">
        <x:v>3</x:v>
      </x:c>
      <x:c r="C14" s="17" t="str">
        <x:v>Fit prototype / unpriced</x:v>
      </x:c>
      <x:c r="D14" s="17" t="str">
        <x:v>Top bezel, bottom shell and thin internal retainer. Landscape 104 × 86 × 44.9 mm provisional. Power and probe connectors on opposing short ends.</x:v>
      </x:c>
      <x:c r="E14" s="3"/>
      <x:c r="F14" s="3"/>
      <x:c r="G14" s="3"/>
      <x:c r="H14" s="3"/>
    </x:row>
    <x:row r="15" ht="62" customHeight="1">
      <x:c r="A15" s="3" t="str">
        <x:v>WT32 small self-tapping screws</x:v>
      </x:c>
      <x:c r="B15" s="34" t="n">
        <x:v>4</x:v>
      </x:c>
      <x:c r="C15" s="3" t="str">
        <x:v>Diameter and length need sample</x:v>
      </x:c>
      <x:c r="D15" s="3" t="str">
        <x:v>Pass through the 2.5 mm retainer into existing rear blind bosses. OEM drawing shows a 2.3 mm pilot. Check thread and engagement without bottoming out.</x:v>
      </x:c>
      <x:c r="E15" s="3"/>
      <x:c r="F15" s="3"/>
      <x:c r="G15" s="3"/>
      <x:c r="H15" s="3"/>
    </x:row>
    <x:row r="16" ht="62" customHeight="1">
      <x:c r="A16" s="17" t="str">
        <x:v>M3 short heat-set inserts</x:v>
      </x:c>
      <x:c r="B16" s="33" t="n">
        <x:v>10</x:v>
      </x:c>
      <x:c r="C16" s="17" t="str">
        <x:v>Ruthex RX-M3Sx4.0 / unpriced</x:v>
      </x:c>
      <x:c r="D16" s="17" t="str">
        <x:v>4 carrier, 4 closure, 2 retainer. OD 4.6 mm, L 4 mm, pilot 4 mm, blind depth 5 mm. Source: https://www.ruthex.de/products/ruthex-gewindeeinsatz-m3s-100stuck-rx-m3x4-0-short-messing-gewindebuchsen-fur-3d-druck</x:v>
      </x:c>
      <x:c r="E16" s="3"/>
      <x:c r="F16" s="3"/>
      <x:c r="G16" s="3"/>
      <x:c r="H16" s="3"/>
    </x:row>
    <x:row r="17" ht="62" customHeight="1">
      <x:c r="A17" s="3" t="str">
        <x:v>M3 × 6 mm carrier screws</x:v>
      </x:c>
      <x:c r="B17" s="34" t="n">
        <x:v>4</x:v>
      </x:c>
      <x:c r="C17" s="3" t="str">
        <x:v>Source locally / unpriced</x:v>
      </x:c>
      <x:c r="D17" s="3" t="str">
        <x:v>Use four 0.5 mm insulating washers, OD no more than 7 mm. Nominal engagement 3.9 mm through the 1.6 mm carrier. Verify insert depth.</x:v>
      </x:c>
      <x:c r="E17" s="3"/>
      <x:c r="F17" s="3"/>
      <x:c r="G17" s="3"/>
      <x:c r="H17" s="3"/>
    </x:row>
    <x:row r="18" ht="62" customHeight="1">
      <x:c r="A18" s="17" t="str">
        <x:v>M3 insulating washers</x:v>
      </x:c>
      <x:c r="B18" s="33" t="n">
        <x:v>4</x:v>
      </x:c>
      <x:c r="C18" s="17" t="str">
        <x:v>0.5 mm thick, OD ≤7 mm</x:v>
      </x:c>
      <x:c r="D18" s="17" t="str">
        <x:v>Between screw heads and carrier. Keep the top head/washer within the reserved 7 mm envelope.</x:v>
      </x:c>
      <x:c r="E18" s="3"/>
      <x:c r="F18" s="3"/>
      <x:c r="G18" s="3"/>
      <x:c r="H18" s="3"/>
    </x:row>
    <x:row r="19" ht="62" customHeight="1">
      <x:c r="A19" s="3" t="str">
        <x:v>M3 × 18 mm closure screws</x:v>
      </x:c>
      <x:c r="B19" s="34" t="n">
        <x:v>4</x:v>
      </x:c>
      <x:c r="C19" s="3" t="str">
        <x:v>Head OD ≤6 mm, height ≤3 mm</x:v>
      </x:c>
      <x:c r="D19" s="3" t="str">
        <x:v>Install through top bezel into bottom inserts. Nominal engagement 3.9 mm with the 3.2 mm head recess. Verify actual screw length and print before tightening.</x:v>
      </x:c>
      <x:c r="E19" s="3"/>
      <x:c r="F19" s="3"/>
      <x:c r="G19" s="3"/>
      <x:c r="H19" s="3"/>
    </x:row>
    <x:row r="20" ht="62" customHeight="1">
      <x:c r="A20" s="17" t="str">
        <x:v>M3 × 6 mm button-head screws</x:v>
      </x:c>
      <x:c r="B20" s="33" t="n">
        <x:v>2</x:v>
      </x:c>
      <x:c r="C20" s="17" t="str">
        <x:v>Head height ≤2 mm</x:v>
      </x:c>
      <x:c r="D20" s="17" t="str">
        <x:v>Retainer to top insert bosses. Nominal engagement 3.5 mm through the 2.5 mm retainer.</x:v>
      </x:c>
      <x:c r="E20" s="3"/>
      <x:c r="F20" s="3"/>
      <x:c r="G20" s="3"/>
      <x:c r="H20" s="3"/>
    </x:row>
    <x:row r="21" ht="62" customHeight="1">
      <x:c r="A21" s="3" t="str">
        <x:v>Q1 insulating support and adhesive</x:v>
      </x:c>
      <x:c r="B21" s="34" t="n">
        <x:v>1</x:v>
      </x:c>
      <x:c r="C21" s="3" t="str">
        <x:v>Material needs thermal check</x:v>
      </x:c>
      <x:c r="D21" s="3" t="str">
        <x:v>Maintain 1 mm under flat MOSFET body. Use a cured insulating support and side fillets for transport. Keep the live drain tab away from copper; no tab bolt.</x:v>
      </x:c>
      <x:c r="E21" s="3"/>
      <x:c r="F21" s="3"/>
      <x:c r="G21" s="3"/>
      <x:c r="H21" s="3"/>
    </x:row>
    <x:row r="22" ht="62" customHeight="1">
      <x:c r="A22" s="17" t="str">
        <x:v>Compliant display perimeter strip</x:v>
      </x:c>
      <x:c r="B22" s="33" t="n">
        <x:v>1</x:v>
      </x:c>
      <x:c r="C22" s="17" t="str">
        <x:v>Material and preload need sample</x:v>
      </x:c>
      <x:c r="D22" s="17" t="str">
        <x:v>Place only on inactive border. Model allows 0.3 mm compressed thickness. Hard stops control assembly height without case screws clamping the glass.</x:v>
      </x:c>
      <x:c r="E22" s="3"/>
      <x:c r="F22" s="3"/>
      <x:c r="G22" s="3"/>
      <x:c r="H22" s="3"/>
    </x:row>
    <x:row r="23" ht="62" customHeight="1">
      <x:c r="A23" s="3" t="str">
        <x:v>ADC insulating support</x:v>
      </x:c>
      <x:c r="B23" s="34" t="n">
        <x:v>1</x:v>
      </x:c>
      <x:c r="C23" s="3" t="str">
        <x:v>Geometry not determined</x:v>
      </x:c>
      <x:c r="D23" s="3" t="str">
        <x:v>Support the socketed ADS1115 free edge and retain it for transport. Verify actual socket seating and underside protrusions. No guessed module mounting holes.</x:v>
      </x:c>
      <x:c r="E23" s="3"/>
      <x:c r="F23" s="3"/>
      <x:c r="G23" s="3"/>
      <x:c r="H23" s="3"/>
    </x:row>
    <x:row r="24" ht="62" customHeight="1">
      <x:c r="A24" s="17" t="str">
        <x:v>WT32-end EXT / DEBUG mates</x:v>
      </x:c>
      <x:c r="B24" s="33" t="n">
        <x:v>2</x:v>
      </x:c>
      <x:c r="C24" s="17" t="str">
        <x:v>Not included in DigiKey order</x:v>
      </x:c>
      <x:c r="D24" s="17" t="str">
        <x:v>Confirm exact WT32 connector and mating cable. JST-XH BOM parts are only the carrier ends of these harnesses.</x:v>
      </x:c>
      <x:c r="E24" s="3"/>
      <x:c r="F24" s="3"/>
      <x:c r="G24" s="3"/>
      <x:c r="H24" s="3"/>
    </x:row>
    <x:row r="25" ht="62" customHeight="1">
      <x:c r="A25" s="3" t="str">
        <x:v>Hookup wire / insulation</x:v>
      </x:c>
      <x:c r="B25" s="34"/>
      <x:c r="C25" s="3" t="str">
        <x:v>As required; unpriced</x:v>
      </x:c>
      <x:c r="D25" s="3" t="str">
        <x:v>Use a short 20-22 AWG red/black pair from 5807 V+/GND to J1. Label J1 separately from 3.3 V J7; their housings interchange physically.</x:v>
      </x:c>
      <x:c r="E25" s="3"/>
      <x:c r="F25" s="3"/>
      <x:c r="G25" s="3"/>
      <x:c r="H25" s="3"/>
    </x:row>
    <x:row r="26" ht="62" customHeight="1">
      <x:c r="A26" s="17" t="str">
        <x:v>Crimp tool and assembly supplies</x:v>
      </x:c>
      <x:c r="B26" s="33"/>
      <x:c r="C26" s="17" t="str">
        <x:v>Existing or source separately</x:v>
      </x:c>
      <x:c r="D26" s="17" t="str">
        <x:v>Correct crimps, solder, insulation and strain relief required. Bare contact price excludes crimping labor/tool.</x:v>
      </x:c>
      <x:c r="E26" s="3"/>
      <x:c r="F26" s="3"/>
      <x:c r="G26" s="3"/>
      <x:c r="H26" s="3"/>
    </x:row>
    <x:row r="27" ht="62" customHeight="1">
      <x:c r="A27" s="3" t="str">
        <x:v>USB-C PD source and cable</x:v>
      </x:c>
      <x:c r="B27" s="34" t="n">
        <x:v>1</x:v>
      </x:c>
      <x:c r="C27" s="3" t="str">
        <x:v>Existing or source separately</x:v>
      </x:c>
      <x:c r="D27" s="3" t="str">
        <x:v>Required design assumption: compliant 12 V USB-PD source and cable limited to 3 A. Configure MOD1 for 12 V / 3 A and confirm voltage/polarity with a meter.</x:v>
      </x:c>
      <x:c r="E27" s="3"/>
      <x:c r="F27" s="3"/>
      <x:c r="G27" s="3"/>
      <x:c r="H27" s="3"/>
    </x:row>
    <x:row r="28" ht="62" customHeight="1">
      <x:c r="A28" s="17" t="str">
        <x:v>12 V wall adapter and barrel plug</x:v>
      </x:c>
      <x:c r="B28" s="33" t="n">
        <x:v>1</x:v>
      </x:c>
      <x:c r="C28" s="17" t="str">
        <x:v>Optional; source separately</x:v>
      </x:c>
      <x:c r="D28" s="17" t="str">
        <x:v>Use only a protected/current-limited regulated 12 V adapter rated no more than 3 A with a 5.5 × 2.1 mm center-positive plug. Select JP2 1-2 PD or 2-3 WALL using one shunt. Disconnect source power before moving JP2 or mating J9.</x:v>
      </x:c>
      <x:c r="E28" s="3"/>
      <x:c r="F28" s="3"/>
      <x:c r="G28" s="3"/>
      <x:c r="H28" s="3"/>
    </x:row>
    <x:row r="29" ht="62" customHeight="1">
      <x:c r="A29" s="3" t="str">
        <x:v>HeaterMeter blower / MG90S / cable</x:v>
      </x:c>
      <x:c r="B29" s="34" t="n">
        <x:v>1</x:v>
      </x:c>
      <x:c r="C29" s="3" t="str">
        <x:v>Existing assembly</x:v>
      </x:c>
      <x:c r="D29" s="3" t="str">
        <x:v>Measure startup/loaded motion and combined RJ45 return current. This revision intentionally has no onboard fuses or branch-selective overcurrent protection. Do not connect carrier RJ45 to Ethernet equipment.</x:v>
      </x:c>
      <x:c r="E29" s="3"/>
      <x:c r="F29" s="3"/>
      <x:c r="G29" s="3"/>
      <x:c r="H29" s="3"/>
    </x:row>
    <x:row r="30" ht="62" customHeight="1">
      <x:c r="A30" s="17" t="str">
        <x:v>2.5 mm NTC probes</x:v>
      </x:c>
      <x:c r="B30" s="33" t="n">
        <x:v>3</x:v>
      </x:c>
      <x:c r="C30" s="17" t="str">
        <x:v>Existing / up to three</x:v>
      </x:c>
      <x:c r="D30" s="17" t="str">
        <x:v>PIT, MEAT 1, MEAT 2. Verify calibration and firmware excitation-reference equation before thermal testing.</x:v>
      </x:c>
      <x:c r="E30" s="3"/>
      <x:c r="F30" s="3"/>
      <x:c r="G30" s="3"/>
      <x:c r="H30" s="3"/>
    </x:row>
    <x:row r="31" ht="31" customHeight="1">
      <x:c r="A31" s="3"/>
      <x:c r="B31" s="3"/>
      <x:c r="C31" s="3"/>
      <x:c r="D31" s="3"/>
      <x:c r="E31" s="3"/>
      <x:c r="F31" s="3"/>
      <x:c r="G31" s="3"/>
      <x:c r="H31" s="3"/>
    </x:row>
    <x:row r="32" ht="31" customHeight="1">
      <x:c r="A32" s="3"/>
      <x:c r="B32" s="3"/>
      <x:c r="C32" s="3"/>
      <x:c r="D32" s="3"/>
      <x:c r="E32" s="3"/>
      <x:c r="F32" s="3"/>
      <x:c r="G32" s="3"/>
      <x:c r="H32" s="3"/>
    </x:row>
    <x:row r="33" ht="31" customHeight="1">
      <x:c r="A33" s="3"/>
      <x:c r="B33" s="3"/>
      <x:c r="C33" s="3"/>
      <x:c r="D33" s="3"/>
      <x:c r="E33" s="3"/>
      <x:c r="F33" s="3"/>
      <x:c r="G33" s="3"/>
      <x:c r="H33" s="3"/>
    </x:row>
  </x:sheetData>
  <x:pageMargins left="0.7" right="0.7" top="0.75" bottom="0.75" header="0.3" footer="0.3"/>
</x:worksheet>
</file>